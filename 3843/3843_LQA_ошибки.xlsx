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Ошибки" sheetId="2" state="visible" r:id="rId4"/>
  </sheets>
  <definedNames>
    <definedName function="false" hidden="false" localSheetId="1" name="_xlnm.Print_Titles" vbProcedure="false">Ошибки!$1:$1</definedName>
    <definedName function="false" hidden="true" localSheetId="1" name="_xlnm._FilterDatabase" vbProcedure="false">Ошибки!$A$1:$J$37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<sst xmlns="http://schemas.openxmlformats.org/spreadsheetml/2006/main" count="357" uniqueCount="224">
  <si>
    <t xml:space="preserve">Заказ 3843 — сводка LQA</t>
  </si>
  <si>
    <t xml:space="preserve">Проверка 27.09.2026 по 4 PDF-сканам. Все правки внесены; независимый аудит — «сдачу разрешаю» по всем 4 файлам. Подробности — лист «Ошибки».</t>
  </si>
  <si>
    <t xml:space="preserve">Файл \ Категория</t>
  </si>
  <si>
    <t xml:space="preserve">Critical</t>
  </si>
  <si>
    <t xml:space="preserve">Major</t>
  </si>
  <si>
    <t xml:space="preserve">Minor</t>
  </si>
  <si>
    <t xml:space="preserve">Вёрстка</t>
  </si>
  <si>
    <t xml:space="preserve">Всего</t>
  </si>
  <si>
    <t xml:space="preserve">01 — CCPIT + Доверенность + Апостиль</t>
  </si>
  <si>
    <t xml:space="preserve">02 — CCPIT + Декларация + Отчёт TÜV + Апостиль</t>
  </si>
  <si>
    <t xml:space="preserve">03 — CCPIT + Свидетельство о регистрации + Апостиль</t>
  </si>
  <si>
    <t xml:space="preserve">04 — CCPIT + Сертификат ISO 13485 + Апостиль</t>
  </si>
  <si>
    <t xml:space="preserve">Во всех 4 файлах</t>
  </si>
  <si>
    <t xml:space="preserve">Итого</t>
  </si>
  <si>
    <t xml:space="preserve">Категории</t>
  </si>
  <si>
    <t xml:space="preserve">искажает юридическую силу или реквизиты: пропуск подписи, гомоглифы в ОГРН</t>
  </si>
  <si>
    <t xml:space="preserve">пропуск текста/страниц, ошибки в именах, числах, терминах, описании печатей</t>
  </si>
  <si>
    <t xml:space="preserve">опечатки, пунктуация, единообразие, форматирование</t>
  </si>
  <si>
    <t xml:space="preserve">расхождение расположения и разбивки страниц с исходником</t>
  </si>
  <si>
    <t xml:space="preserve">№</t>
  </si>
  <si>
    <t xml:space="preserve">Код</t>
  </si>
  <si>
    <t xml:space="preserve">Категория</t>
  </si>
  <si>
    <t xml:space="preserve">Файл</t>
  </si>
  <si>
    <t xml:space="preserve">Где</t>
  </si>
  <si>
    <t xml:space="preserve">Тип ошибки</t>
  </si>
  <si>
    <t xml:space="preserve">Было в переводе</t>
  </si>
  <si>
    <t xml:space="preserve">Как в исходнике</t>
  </si>
  <si>
    <t xml:space="preserve">Исправлено на</t>
  </si>
  <si>
    <t xml:space="preserve">Статус</t>
  </si>
  <si>
    <t xml:space="preserve">C1</t>
  </si>
  <si>
    <t xml:space="preserve">01</t>
  </si>
  <si>
    <t xml:space="preserve">Доверенность, конец (стр. 4)</t>
  </si>
  <si>
    <t xml:space="preserve">Пропуск</t>
  </si>
  <si>
    <t xml:space="preserve">Блока подписи нет</t>
  </si>
  <si>
    <t xml:space="preserve">Zhenjiang Hengsheng Juan En Medical Equipment Co., Ltd / CEO Li Yin Ying / подпись / (stamp) + круглая печать компании</t>
  </si>
  <si>
    <t xml:space="preserve">Добавлен блок подписи: компания, генеральный директор Ли Иньин, /подпись: Li Yin Ying/ (печать), описание печати</t>
  </si>
  <si>
    <t xml:space="preserve">Исправлено</t>
  </si>
  <si>
    <t xml:space="preserve">C2</t>
  </si>
  <si>
    <t xml:space="preserve">Доверенность, абзац «Общество…»</t>
  </si>
  <si>
    <t xml:space="preserve">Гомоглифы</t>
  </si>
  <si>
    <t xml:space="preserve">«ΟΓΡΗ» — греческие буквы Ο Γ Ρ Η</t>
  </si>
  <si>
    <t xml:space="preserve">ОГРН (кириллица)</t>
  </si>
  <si>
    <t xml:space="preserve">ОГРН</t>
  </si>
  <si>
    <t xml:space="preserve">M1</t>
  </si>
  <si>
    <t xml:space="preserve">03</t>
  </si>
  <si>
    <t xml:space="preserve">Стр. 2 исходника</t>
  </si>
  <si>
    <t xml:space="preserve">Китайский оригинал свидетельства не переведён</t>
  </si>
  <si>
    <r>
      <rPr>
        <sz val="10"/>
        <rFont val="WenQuanYi Zen Hei"/>
        <family val="2"/>
      </rPr>
      <t xml:space="preserve">营业执照（副本）</t>
    </r>
    <r>
      <rPr>
        <sz val="10"/>
        <rFont val="Arial"/>
        <family val="0"/>
        <charset val="1"/>
      </rPr>
      <t xml:space="preserve">: поля, вид деятельности, печать </t>
    </r>
    <r>
      <rPr>
        <sz val="10"/>
        <rFont val="WenQuanYi Zen Hei"/>
        <family val="2"/>
      </rPr>
      <t xml:space="preserve">镇江市丹徒区政务服务管理办公室</t>
    </r>
    <r>
      <rPr>
        <sz val="10"/>
        <rFont val="Arial"/>
        <family val="0"/>
        <charset val="1"/>
      </rPr>
      <t xml:space="preserve">, 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06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日</t>
    </r>
  </si>
  <si>
    <t xml:space="preserve">Добавлена страница перевода китайского оригинала</t>
  </si>
  <si>
    <t xml:space="preserve">M2</t>
  </si>
  <si>
    <t xml:space="preserve">04</t>
  </si>
  <si>
    <t xml:space="preserve">Стр. 4–5 исходника</t>
  </si>
  <si>
    <t xml:space="preserve">Китайская версия сертификата ISO 13485 не переведена</t>
  </si>
  <si>
    <r>
      <rPr>
        <sz val="10"/>
        <rFont val="WenQuanYi Zen Hei"/>
        <family val="2"/>
      </rPr>
      <t xml:space="preserve">认证证书 </t>
    </r>
    <r>
      <rPr>
        <sz val="10"/>
        <rFont val="Arial"/>
        <family val="0"/>
        <charset val="1"/>
      </rPr>
      <t xml:space="preserve">(2 стр.) + «</t>
    </r>
    <r>
      <rPr>
        <sz val="10"/>
        <rFont val="WenQuanYi Zen Hei"/>
        <family val="2"/>
      </rPr>
      <t xml:space="preserve">本证书是由具有法律效力的英文证书翻译而来</t>
    </r>
    <r>
      <rPr>
        <sz val="10"/>
        <rFont val="Arial"/>
        <family val="0"/>
        <charset val="1"/>
      </rPr>
      <t xml:space="preserve">»</t>
    </r>
  </si>
  <si>
    <t xml:space="preserve">Добавлены 2 страницы перевода со сноской «Настоящий сертификат является переводом имеющего юридическую силу сертификата на английском языке»</t>
  </si>
  <si>
    <t xml:space="preserve">M3</t>
  </si>
  <si>
    <t xml:space="preserve">02</t>
  </si>
  <si>
    <t xml:space="preserve">Отчёт TÜV, колонтитул</t>
  </si>
  <si>
    <t xml:space="preserve">Числа / вёрстка</t>
  </si>
  <si>
    <t xml:space="preserve">«Стр. 1 из 6» … «6 из 6»</t>
  </si>
  <si>
    <t xml:space="preserve">Page X of 8</t>
  </si>
  <si>
    <t xml:space="preserve">«Стр. X из 8», страницы 1:1 с исходником</t>
  </si>
  <si>
    <t xml:space="preserve">M4</t>
  </si>
  <si>
    <t xml:space="preserve">Отчёт, стр. 2 и 8</t>
  </si>
  <si>
    <t xml:space="preserve">Имена</t>
  </si>
  <si>
    <t xml:space="preserve">«Чжан Цин» (3 раза)</t>
  </si>
  <si>
    <r>
      <rPr>
        <sz val="10"/>
        <rFont val="WenQuanYi Zen Hei"/>
        <family val="2"/>
      </rPr>
      <t xml:space="preserve">张琴 </t>
    </r>
    <r>
      <rPr>
        <sz val="10"/>
        <rFont val="Arial"/>
        <family val="0"/>
        <charset val="1"/>
      </rPr>
      <t xml:space="preserve">(qín)</t>
    </r>
  </si>
  <si>
    <t xml:space="preserve">«Чжан Цинь»</t>
  </si>
  <si>
    <t xml:space="preserve">M5</t>
  </si>
  <si>
    <t xml:space="preserve">Отчёт, стр. 2, п. 1.1</t>
  </si>
  <si>
    <t xml:space="preserve">Чекбоксы</t>
  </si>
  <si>
    <t xml:space="preserve">Лишний ☐ перед «Rev.01, действителен до 2027-08-19»</t>
  </si>
  <si>
    <t xml:space="preserve">Продолжение отмеченного пункта ☒, своего чекбокса нет</t>
  </si>
  <si>
    <t xml:space="preserve">Строка присоединена к пункту ☒</t>
  </si>
  <si>
    <t xml:space="preserve">M6</t>
  </si>
  <si>
    <t xml:space="preserve">Отчёт, стр. 2, J-QMS</t>
  </si>
  <si>
    <t xml:space="preserve">«в 2020☐ году», «в 2021☐ году»</t>
  </si>
  <si>
    <r>
      <rPr>
        <sz val="10"/>
        <rFont val="Arial"/>
        <family val="0"/>
        <charset val="1"/>
      </rPr>
      <t xml:space="preserve">2020</t>
    </r>
    <r>
      <rPr>
        <sz val="10"/>
        <rFont val="WenQuanYi Zen Hei"/>
        <family val="2"/>
      </rPr>
      <t xml:space="preserve">年第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号法令修订 </t>
    </r>
    <r>
      <rPr>
        <sz val="10"/>
        <rFont val="Arial"/>
        <family val="0"/>
        <charset val="1"/>
      </rPr>
      <t xml:space="preserve">/ 2021</t>
    </r>
    <r>
      <rPr>
        <sz val="10"/>
        <rFont val="WenQuanYi Zen Hei"/>
        <family val="2"/>
      </rPr>
      <t xml:space="preserve">年第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号法令修订</t>
    </r>
  </si>
  <si>
    <t xml:space="preserve">Лишние ☐ удалены</t>
  </si>
  <si>
    <t xml:space="preserve">M7</t>
  </si>
  <si>
    <t xml:space="preserve">Отчёт, стр. 4, п. 2.4</t>
  </si>
  <si>
    <t xml:space="preserve">Терминология</t>
  </si>
  <si>
    <t xml:space="preserve">«Корректирующие мероприятия на месте»</t>
  </si>
  <si>
    <r>
      <rPr>
        <sz val="10"/>
        <rFont val="WenQuanYi Zen Hei"/>
        <family val="2"/>
      </rPr>
      <t xml:space="preserve">现场纠正措施（适用时） — </t>
    </r>
    <r>
      <rPr>
        <sz val="10"/>
        <rFont val="Arial"/>
        <family val="0"/>
        <charset val="1"/>
      </rPr>
      <t xml:space="preserve">FSCA</t>
    </r>
  </si>
  <si>
    <t xml:space="preserve">«Корректирующие действия по обеспечению безопасности на месте эксплуатации (FSCA) (при наличии)»</t>
  </si>
  <si>
    <t xml:space="preserve">M8</t>
  </si>
  <si>
    <t xml:space="preserve">Отчёт, стр. 7–8, п. 4</t>
  </si>
  <si>
    <t xml:space="preserve">«Корректирующие действия по … несоответствиям»; «корректирующих действий и мер»</t>
  </si>
  <si>
    <r>
      <rPr>
        <sz val="10"/>
        <rFont val="WenQuanYi Zen Hei"/>
        <family val="2"/>
      </rPr>
      <t xml:space="preserve">纠正 </t>
    </r>
    <r>
      <rPr>
        <sz val="10"/>
        <rFont val="Arial"/>
        <family val="0"/>
        <charset val="1"/>
      </rPr>
      <t xml:space="preserve">= коррекция; </t>
    </r>
    <r>
      <rPr>
        <sz val="10"/>
        <rFont val="WenQuanYi Zen Hei"/>
        <family val="2"/>
      </rPr>
      <t xml:space="preserve">纠正与纠正措施</t>
    </r>
  </si>
  <si>
    <t xml:space="preserve">«Коррекция …»; «коррекции и корректирующих действий»</t>
  </si>
  <si>
    <t xml:space="preserve">M9</t>
  </si>
  <si>
    <t xml:space="preserve">Декларация, печать</t>
  </si>
  <si>
    <t xml:space="preserve">Печати</t>
  </si>
  <si>
    <t xml:space="preserve">«/Печать: /неразборчиво/ * 32111201003/»</t>
  </si>
  <si>
    <r>
      <rPr>
        <sz val="10"/>
        <rFont val="Arial"/>
        <family val="0"/>
        <charset val="1"/>
      </rPr>
      <t xml:space="preserve">Печать читается: </t>
    </r>
    <r>
      <rPr>
        <sz val="10"/>
        <rFont val="WenQuanYi Zen Hei"/>
        <family val="2"/>
      </rPr>
      <t xml:space="preserve">镇江恒生涓恩医疗器械有限公司</t>
    </r>
    <r>
      <rPr>
        <sz val="10"/>
        <rFont val="Arial"/>
        <family val="0"/>
        <charset val="1"/>
      </rPr>
      <t xml:space="preserve">, ★, номер</t>
    </r>
  </si>
  <si>
    <t xml:space="preserve">«/Печать: Zhenjiang Hengsheng Juan'en Medical Devices Co., Ltd. * 3211… (номер частично неразборчив)/»</t>
  </si>
  <si>
    <t xml:space="preserve">M10</t>
  </si>
  <si>
    <t xml:space="preserve">01–04</t>
  </si>
  <si>
    <t xml:space="preserve">Сертификаты CCPIT</t>
  </si>
  <si>
    <t xml:space="preserve">Физ. элементы</t>
  </si>
  <si>
    <t xml:space="preserve">«/Штрихкод: № 263200B0/H0819x/»</t>
  </si>
  <si>
    <r>
      <rPr>
        <sz val="10"/>
        <rFont val="Arial"/>
        <family val="0"/>
        <charset val="1"/>
      </rPr>
      <t xml:space="preserve">QR-код + номер документа «</t>
    </r>
    <r>
      <rPr>
        <sz val="10"/>
        <rFont val="WenQuanYi Zen Hei"/>
        <family val="2"/>
      </rPr>
      <t xml:space="preserve">号码 </t>
    </r>
    <r>
      <rPr>
        <sz val="10"/>
        <rFont val="Arial"/>
        <family val="0"/>
        <charset val="1"/>
      </rPr>
      <t xml:space="preserve">No.»; штрихкода нет</t>
    </r>
  </si>
  <si>
    <t xml:space="preserve">«/QR-код/» + «№ 263200B0/H0819x»</t>
  </si>
  <si>
    <t xml:space="preserve">M11</t>
  </si>
  <si>
    <t xml:space="preserve">EN-версия, печать переводчика</t>
  </si>
  <si>
    <t xml:space="preserve">Незаполненный фрагмент</t>
  </si>
  <si>
    <t xml:space="preserve">«ООО «Синьсылу Бизнес Консалтинг» (г. …)»</t>
  </si>
  <si>
    <t xml:space="preserve">镇江市新思路商务咨询有限责任公司</t>
  </si>
  <si>
    <t xml:space="preserve">«(г. Чжэньцзян)»</t>
  </si>
  <si>
    <t xml:space="preserve">M12</t>
  </si>
  <si>
    <t xml:space="preserve">Красная и золотая рельефная печати CCPIT (16) не описаны</t>
  </si>
  <si>
    <r>
      <rPr>
        <sz val="10"/>
        <rFont val="WenQuanYi Zen Hei"/>
        <family val="2"/>
      </rPr>
      <t xml:space="preserve">中国国际贸易促进委员会 商事证明专用章 </t>
    </r>
    <r>
      <rPr>
        <sz val="10"/>
        <rFont val="Arial"/>
        <family val="0"/>
        <charset val="1"/>
      </rPr>
      <t xml:space="preserve">CCPIT (16); рельефная CERTIFICATION CCPIT (16)</t>
    </r>
  </si>
  <si>
    <t xml:space="preserve">Добавлены обе пометки о печатях</t>
  </si>
  <si>
    <t xml:space="preserve">m1</t>
  </si>
  <si>
    <t xml:space="preserve">Доверенность, адрес ООО «ПРИМА»</t>
  </si>
  <si>
    <t xml:space="preserve">«помещение ІІ» — украинские І</t>
  </si>
  <si>
    <t xml:space="preserve">II</t>
  </si>
  <si>
    <t xml:space="preserve">m2</t>
  </si>
  <si>
    <t xml:space="preserve">Доверенность, пункты</t>
  </si>
  <si>
    <t xml:space="preserve">Типографика</t>
  </si>
  <si>
    <t xml:space="preserve">Маркер «-»</t>
  </si>
  <si>
    <t xml:space="preserve">—</t>
  </si>
  <si>
    <t xml:space="preserve">m3</t>
  </si>
  <si>
    <t xml:space="preserve">Доверенность, пункт о безопасности</t>
  </si>
  <si>
    <t xml:space="preserve">Пунктуация</t>
  </si>
  <si>
    <t xml:space="preserve">«безопасности,»</t>
  </si>
  <si>
    <t xml:space="preserve">«безопасности;» (под печатью)</t>
  </si>
  <si>
    <t xml:space="preserve">«безопасности;»</t>
  </si>
  <si>
    <t xml:space="preserve">m4</t>
  </si>
  <si>
    <t xml:space="preserve">Апостили, шапка</t>
  </si>
  <si>
    <t xml:space="preserve">«…данного апостиля,»</t>
  </si>
  <si>
    <t xml:space="preserve">точка</t>
  </si>
  <si>
    <t xml:space="preserve">«…данного апостиля.»</t>
  </si>
  <si>
    <t xml:space="preserve">m5</t>
  </si>
  <si>
    <t xml:space="preserve">Апостили</t>
  </si>
  <si>
    <t xml:space="preserve">Голограмма и рельефная печать CCPIT не отражены; п. 9 «неразборчиво»</t>
  </si>
  <si>
    <r>
      <rPr>
        <sz val="10"/>
        <rFont val="Arial"/>
        <family val="0"/>
        <charset val="1"/>
      </rPr>
      <t xml:space="preserve">Голограмма </t>
    </r>
    <r>
      <rPr>
        <sz val="10"/>
        <rFont val="WenQuanYi Zen Hei"/>
        <family val="2"/>
      </rPr>
      <t xml:space="preserve">中国领事</t>
    </r>
    <r>
      <rPr>
        <sz val="10"/>
        <rFont val="Arial"/>
        <family val="0"/>
        <charset val="1"/>
      </rPr>
      <t xml:space="preserve">; рельефная печать (01, 02, 04); печать с гербом КНР</t>
    </r>
  </si>
  <si>
    <t xml:space="preserve">Добавлены «/Голограмма/», «/Рельефная печать/»; п. 9 — «Печать с изображением Государственного герба КНР»</t>
  </si>
  <si>
    <t xml:space="preserve">m6</t>
  </si>
  <si>
    <t xml:space="preserve">«неразборчиво»</t>
  </si>
  <si>
    <t xml:space="preserve">Служебное</t>
  </si>
  <si>
    <t xml:space="preserve">Жёлтый маркер (5 мест)</t>
  </si>
  <si>
    <t xml:space="preserve">Маркер снят</t>
  </si>
  <si>
    <t xml:space="preserve">m7</t>
  </si>
  <si>
    <t xml:space="preserve">Сертификат CCPIT</t>
  </si>
  <si>
    <t xml:space="preserve">Единообразие</t>
  </si>
  <si>
    <t xml:space="preserve">«Веб-сайт для проверки…»</t>
  </si>
  <si>
    <t xml:space="preserve">В 01, 03, 04 — «Сайт…»</t>
  </si>
  <si>
    <t xml:space="preserve">«Сайт для проверки сертификата»</t>
  </si>
  <si>
    <t xml:space="preserve">m8</t>
  </si>
  <si>
    <t xml:space="preserve">Сертификаты CCPIT; отчёт п. 1.1</t>
  </si>
  <si>
    <t xml:space="preserve">Двойные пробелы («18 сентября  2026», «ISO 9001:  2015»)</t>
  </si>
  <si>
    <t xml:space="preserve">Одинарные пробелы</t>
  </si>
  <si>
    <t xml:space="preserve">m9</t>
  </si>
  <si>
    <t xml:space="preserve">Декларация, подпись</t>
  </si>
  <si>
    <t xml:space="preserve">Опечатка</t>
  </si>
  <si>
    <t xml:space="preserve">«Medical Dices Co., Ltd.»</t>
  </si>
  <si>
    <t xml:space="preserve">Medical Devices</t>
  </si>
  <si>
    <t xml:space="preserve">«Medical Devices»</t>
  </si>
  <si>
    <t xml:space="preserve">m10</t>
  </si>
  <si>
    <t xml:space="preserve">Отчёт, стр. 1, критерии</t>
  </si>
  <si>
    <t xml:space="preserve">«Приложение IX, глава 1»</t>
  </si>
  <si>
    <r>
      <rPr>
        <sz val="10"/>
        <rFont val="WenQuanYi Zen Hei"/>
        <family val="2"/>
      </rPr>
      <t xml:space="preserve">附录</t>
    </r>
    <r>
      <rPr>
        <sz val="10"/>
        <rFont val="Arial"/>
        <family val="0"/>
        <charset val="1"/>
      </rPr>
      <t xml:space="preserve">IX</t>
    </r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I</t>
    </r>
    <r>
      <rPr>
        <sz val="10"/>
        <rFont val="WenQuanYi Zen Hei"/>
        <family val="2"/>
      </rPr>
      <t xml:space="preserve">章</t>
    </r>
  </si>
  <si>
    <t xml:space="preserve">«глава I»</t>
  </si>
  <si>
    <t xml:space="preserve">m11</t>
  </si>
  <si>
    <t xml:space="preserve">Отчёт, стр. 7, п. 3</t>
  </si>
  <si>
    <t xml:space="preserve">Числа</t>
  </si>
  <si>
    <t xml:space="preserve">«Q51085760001 Rev.01»</t>
  </si>
  <si>
    <t xml:space="preserve">Q5 108576 0001 Rev.01</t>
  </si>
  <si>
    <t xml:space="preserve">«Q5 108576 0001 Rev.01»</t>
  </si>
  <si>
    <t xml:space="preserve">m12</t>
  </si>
  <si>
    <t xml:space="preserve">Отчёт, стр. 4, п. 2.2</t>
  </si>
  <si>
    <t xml:space="preserve">Лишнее «_», нет пробела</t>
  </si>
  <si>
    <t xml:space="preserve">m13</t>
  </si>
  <si>
    <t xml:space="preserve">«Отчёт о системе оповещения»</t>
  </si>
  <si>
    <r>
      <rPr>
        <sz val="10"/>
        <rFont val="WenQuanYi Zen Hei"/>
        <family val="2"/>
      </rPr>
      <t xml:space="preserve">警戒系统报告 </t>
    </r>
    <r>
      <rPr>
        <sz val="10"/>
        <rFont val="Arial"/>
        <family val="0"/>
        <charset val="1"/>
      </rPr>
      <t xml:space="preserve">(vigilance)</t>
    </r>
  </si>
  <si>
    <t xml:space="preserve">«Отчёты в рамках системы мониторинга безопасности (vigilance)»</t>
  </si>
  <si>
    <t xml:space="preserve">m14</t>
  </si>
  <si>
    <t xml:space="preserve">Весь отчёт</t>
  </si>
  <si>
    <t xml:space="preserve">Ресертификационный аудит / аудит на продление / на ресертификацию; проверяемая сторона / аудитируемая организация; мероприятия / меры / действия</t>
  </si>
  <si>
    <r>
      <rPr>
        <sz val="10"/>
        <rFont val="WenQuanYi Zen Hei"/>
        <family val="2"/>
      </rPr>
      <t xml:space="preserve">再认证审核</t>
    </r>
    <r>
      <rPr>
        <sz val="10"/>
        <rFont val="Arial"/>
        <family val="0"/>
        <charset val="1"/>
      </rPr>
      <t xml:space="preserve">; </t>
    </r>
    <r>
      <rPr>
        <sz val="10"/>
        <rFont val="WenQuanYi Zen Hei"/>
        <family val="2"/>
      </rPr>
      <t xml:space="preserve">受审核方</t>
    </r>
    <r>
      <rPr>
        <sz val="10"/>
        <rFont val="Arial"/>
        <family val="0"/>
        <charset val="1"/>
      </rPr>
      <t xml:space="preserve">; </t>
    </r>
    <r>
      <rPr>
        <sz val="10"/>
        <rFont val="WenQuanYi Zen Hei"/>
        <family val="2"/>
      </rPr>
      <t xml:space="preserve">纠正措施</t>
    </r>
  </si>
  <si>
    <t xml:space="preserve">«ресертификационный аудит», «проверяемая сторона», «корректирующие действия»</t>
  </si>
  <si>
    <t xml:space="preserve">m15</t>
  </si>
  <si>
    <t xml:space="preserve">Отчёт, стр. 3 и 6</t>
  </si>
  <si>
    <t xml:space="preserve">«Регламента о медицинских изделиях MDR Regulation (EU) 2017/745»</t>
  </si>
  <si>
    <t xml:space="preserve">MDR / IVDR</t>
  </si>
  <si>
    <t xml:space="preserve">«Регламента (ЕС) 2017/745 о медицинских изделиях (MDR)», аналогично IVDR</t>
  </si>
  <si>
    <t xml:space="preserve">m16</t>
  </si>
  <si>
    <t xml:space="preserve">Отчёт, стр. 8, подписи</t>
  </si>
  <si>
    <t xml:space="preserve">Подписи</t>
  </si>
  <si>
    <t xml:space="preserve">«/подпись/» ×2</t>
  </si>
  <si>
    <r>
      <rPr>
        <sz val="10"/>
        <rFont val="Arial"/>
        <family val="0"/>
        <charset val="1"/>
      </rPr>
      <t xml:space="preserve">Подписи читаются: </t>
    </r>
    <r>
      <rPr>
        <sz val="10"/>
        <rFont val="WenQuanYi Zen Hei"/>
        <family val="2"/>
      </rPr>
      <t xml:space="preserve">张琴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许浩然</t>
    </r>
  </si>
  <si>
    <t xml:space="preserve">«/подпись: Чжан Цинь/», «/подпись: Сюй Хаожань/»</t>
  </si>
  <si>
    <t xml:space="preserve">m17</t>
  </si>
  <si>
    <t xml:space="preserve">Область действия сертификата</t>
  </si>
  <si>
    <t xml:space="preserve">Форматирование</t>
  </si>
  <si>
    <t xml:space="preserve">«стерильных кожных степлеров» не полужирным, рваные строки</t>
  </si>
  <si>
    <t xml:space="preserve">Весь блок полужирный</t>
  </si>
  <si>
    <t xml:space="preserve">Полужирный, ровные строки</t>
  </si>
  <si>
    <t xml:space="preserve">L1</t>
  </si>
  <si>
    <t xml:space="preserve">Доверенность</t>
  </si>
  <si>
    <t xml:space="preserve">Одна колонка, только русский текст</t>
  </si>
  <si>
    <t xml:space="preserve">Таблица EN | RU, заголовок POWER OF ATTORNEY/ДОВЕРЕННОСТЬ</t>
  </si>
  <si>
    <t xml:space="preserve">Таблица в 2 колонки: слева перевод английского, справа русский текст оригинала</t>
  </si>
  <si>
    <t xml:space="preserve">L2</t>
  </si>
  <si>
    <t xml:space="preserve">Отчёт TÜV</t>
  </si>
  <si>
    <t xml:space="preserve">6 стр. вместо 8; разрывы не совпадают; строки таблиц рвутся; смешаны шрифты</t>
  </si>
  <si>
    <t xml:space="preserve">8 стр.</t>
  </si>
  <si>
    <t xml:space="preserve">8 стр. 1:1; строки не рвутся; единый шрифт</t>
  </si>
  <si>
    <t xml:space="preserve">L3</t>
  </si>
  <si>
    <t xml:space="preserve">EN-версия свидетельства</t>
  </si>
  <si>
    <t xml:space="preserve">Таблица с рамками на 2 страницы, «Вид деятельности» зажат в колонке</t>
  </si>
  <si>
    <t xml:space="preserve">Без рамок, 1 альбомная страница</t>
  </si>
  <si>
    <t xml:space="preserve">Без рамок, вид деятельности на всю ширину, 1 страница</t>
  </si>
  <si>
    <t xml:space="preserve">L4</t>
  </si>
  <si>
    <t xml:space="preserve">Сертификат ISO, стр. 2</t>
  </si>
  <si>
    <t xml:space="preserve">QR-код на обеих страницах</t>
  </si>
  <si>
    <t xml:space="preserve">QR только на 1-й странице</t>
  </si>
  <si>
    <t xml:space="preserve">QR только на первых страницах EN и ZH</t>
  </si>
  <si>
    <t xml:space="preserve">L5</t>
  </si>
  <si>
    <t xml:space="preserve">Сертификаты CCPIT, подпись</t>
  </si>
  <si>
    <t xml:space="preserve">«Китайский совет по содействию международной / торговле» — неудачный перенос</t>
  </si>
  <si>
    <t xml:space="preserve">2 строки</t>
  </si>
  <si>
    <t xml:space="preserve">«Китайский совет по содействию / международной торговле»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</si>
</sst>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75623"/>
      <name val="Arial"/>
      <family val="0"/>
      <charset val="1"/>
    </font>
    <font>
      <sz val="10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404040"/>
        <bgColor rgb="FF37562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  <c r="F4" s="8" t="s">
        <v>7</v>
      </c>
    </row>
    <row r="5" customFormat="false" ht="15" hidden="false" customHeight="false" outlineLevel="0" collapsed="false">
      <c r="A5" s="9" t="s">
        <v>8</v>
      </c>
      <c r="B5" s="10" t="n">
        <f aca="false">COUNTIFS(Ошибки!$D$2:$D$200,"01",Ошибки!$C$2:$C$200,"Critical")</f>
        <v>2</v>
      </c>
      <c r="C5" s="10" t="n">
        <f aca="false">COUNTIFS(Ошибки!$D$2:$D$200,"01",Ошибки!$C$2:$C$200,"Major")</f>
        <v>0</v>
      </c>
      <c r="D5" s="10" t="n">
        <f aca="false">COUNTIFS(Ошибки!$D$2:$D$200,"01",Ошибки!$C$2:$C$200,"Minor")</f>
        <v>3</v>
      </c>
      <c r="E5" s="10" t="n">
        <f aca="false">COUNTIFS(Ошибки!$D$2:$D$200,"01",Ошибки!$C$2:$C$200,"Вёрстка")</f>
        <v>1</v>
      </c>
      <c r="F5" s="10" t="n">
        <f aca="false">SUM(B5:E5)</f>
        <v>6</v>
      </c>
    </row>
    <row r="6" customFormat="false" ht="15" hidden="false" customHeight="false" outlineLevel="0" collapsed="false">
      <c r="A6" s="9" t="s">
        <v>9</v>
      </c>
      <c r="B6" s="10" t="n">
        <f aca="false">COUNTIFS(Ошибки!$D$2:$D$200,"02",Ошибки!$C$2:$C$200,"Critical")</f>
        <v>0</v>
      </c>
      <c r="C6" s="10" t="n">
        <f aca="false">COUNTIFS(Ошибки!$D$2:$D$200,"02",Ошибки!$C$2:$C$200,"Major")</f>
        <v>7</v>
      </c>
      <c r="D6" s="10" t="n">
        <f aca="false">COUNTIFS(Ошибки!$D$2:$D$200,"02",Ошибки!$C$2:$C$200,"Minor")</f>
        <v>9</v>
      </c>
      <c r="E6" s="10" t="n">
        <f aca="false">COUNTIFS(Ошибки!$D$2:$D$200,"02",Ошибки!$C$2:$C$200,"Вёрстка")</f>
        <v>1</v>
      </c>
      <c r="F6" s="10" t="n">
        <f aca="false">SUM(B6:E6)</f>
        <v>17</v>
      </c>
    </row>
    <row r="7" customFormat="false" ht="15" hidden="false" customHeight="false" outlineLevel="0" collapsed="false">
      <c r="A7" s="9" t="s">
        <v>10</v>
      </c>
      <c r="B7" s="10" t="n">
        <f aca="false">COUNTIFS(Ошибки!$D$2:$D$200,"03",Ошибки!$C$2:$C$200,"Critical")</f>
        <v>0</v>
      </c>
      <c r="C7" s="10" t="n">
        <f aca="false">COUNTIFS(Ошибки!$D$2:$D$200,"03",Ошибки!$C$2:$C$200,"Major")</f>
        <v>2</v>
      </c>
      <c r="D7" s="10" t="n">
        <f aca="false">COUNTIFS(Ошибки!$D$2:$D$200,"03",Ошибки!$C$2:$C$200,"Minor")</f>
        <v>0</v>
      </c>
      <c r="E7" s="10" t="n">
        <f aca="false">COUNTIFS(Ошибки!$D$2:$D$200,"03",Ошибки!$C$2:$C$200,"Вёрстка")</f>
        <v>1</v>
      </c>
      <c r="F7" s="10" t="n">
        <f aca="false">SUM(B7:E7)</f>
        <v>3</v>
      </c>
    </row>
    <row r="8" customFormat="false" ht="15" hidden="false" customHeight="false" outlineLevel="0" collapsed="false">
      <c r="A8" s="9" t="s">
        <v>11</v>
      </c>
      <c r="B8" s="10" t="n">
        <f aca="false">COUNTIFS(Ошибки!$D$2:$D$200,"04",Ошибки!$C$2:$C$200,"Critical")</f>
        <v>0</v>
      </c>
      <c r="C8" s="10" t="n">
        <f aca="false">COUNTIFS(Ошибки!$D$2:$D$200,"04",Ошибки!$C$2:$C$200,"Major")</f>
        <v>1</v>
      </c>
      <c r="D8" s="10" t="n">
        <f aca="false">COUNTIFS(Ошибки!$D$2:$D$200,"04",Ошибки!$C$2:$C$200,"Minor")</f>
        <v>1</v>
      </c>
      <c r="E8" s="10" t="n">
        <f aca="false">COUNTIFS(Ошибки!$D$2:$D$200,"04",Ошибки!$C$2:$C$200,"Вёрстка")</f>
        <v>1</v>
      </c>
      <c r="F8" s="10" t="n">
        <f aca="false">SUM(B8:E8)</f>
        <v>3</v>
      </c>
    </row>
    <row r="9" customFormat="false" ht="15" hidden="false" customHeight="false" outlineLevel="0" collapsed="false">
      <c r="A9" s="9" t="s">
        <v>12</v>
      </c>
      <c r="B9" s="10" t="n">
        <f aca="false">COUNTIFS(Ошибки!$D$2:$D$200,"01–04",Ошибки!$C$2:$C$200,"Critical")</f>
        <v>0</v>
      </c>
      <c r="C9" s="10" t="n">
        <f aca="false">COUNTIFS(Ошибки!$D$2:$D$200,"01–04",Ошибки!$C$2:$C$200,"Major")</f>
        <v>2</v>
      </c>
      <c r="D9" s="10" t="n">
        <f aca="false">COUNTIFS(Ошибки!$D$2:$D$200,"01–04",Ошибки!$C$2:$C$200,"Minor")</f>
        <v>4</v>
      </c>
      <c r="E9" s="10" t="n">
        <f aca="false">COUNTIFS(Ошибки!$D$2:$D$200,"01–04",Ошибки!$C$2:$C$200,"Вёрстка")</f>
        <v>1</v>
      </c>
      <c r="F9" s="10" t="n">
        <f aca="false">SUM(B9:E9)</f>
        <v>7</v>
      </c>
    </row>
    <row r="10" customFormat="false" ht="15" hidden="false" customHeight="false" outlineLevel="0" collapsed="false">
      <c r="A10" s="11" t="s">
        <v>13</v>
      </c>
      <c r="B10" s="12" t="n">
        <f aca="false">SUM(B5:B9)</f>
        <v>2</v>
      </c>
      <c r="C10" s="12" t="n">
        <f aca="false">SUM(C5:C9)</f>
        <v>12</v>
      </c>
      <c r="D10" s="12" t="n">
        <f aca="false">SUM(D5:D9)</f>
        <v>17</v>
      </c>
      <c r="E10" s="12" t="n">
        <f aca="false">SUM(E5:E9)</f>
        <v>5</v>
      </c>
      <c r="F10" s="12" t="n">
        <f aca="false">SUM(F5:F9)</f>
        <v>36</v>
      </c>
    </row>
    <row r="12" customFormat="false" ht="15" hidden="false" customHeight="false" outlineLevel="0" collapsed="false">
      <c r="A12" s="13" t="s">
        <v>14</v>
      </c>
    </row>
    <row r="13" customFormat="false" ht="15" hidden="false" customHeight="false" outlineLevel="0" collapsed="false">
      <c r="A13" s="14" t="s">
        <v>3</v>
      </c>
      <c r="B13" s="15" t="s">
        <v>15</v>
      </c>
    </row>
    <row r="14" customFormat="false" ht="15" hidden="false" customHeight="false" outlineLevel="0" collapsed="false">
      <c r="A14" s="16" t="s">
        <v>4</v>
      </c>
      <c r="B14" s="15" t="s">
        <v>16</v>
      </c>
    </row>
    <row r="15" customFormat="false" ht="15" hidden="false" customHeight="false" outlineLevel="0" collapsed="false">
      <c r="A15" s="17" t="s">
        <v>5</v>
      </c>
      <c r="B15" s="15" t="s">
        <v>17</v>
      </c>
    </row>
    <row r="16" customFormat="false" ht="15" hidden="false" customHeight="false" outlineLevel="0" collapsed="false">
      <c r="A16" s="18" t="s">
        <v>6</v>
      </c>
      <c r="B16" s="1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42"/>
    <col collapsed="false" customWidth="true" hidden="false" outlineLevel="0" max="8" min="8" style="0" width="40"/>
    <col collapsed="false" customWidth="true" hidden="false" outlineLevel="0" max="9" min="9" style="0" width="4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9" t="s">
        <v>19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25</v>
      </c>
      <c r="H1" s="19" t="s">
        <v>26</v>
      </c>
      <c r="I1" s="19" t="s">
        <v>27</v>
      </c>
      <c r="J1" s="19" t="s">
        <v>28</v>
      </c>
    </row>
    <row r="2" customFormat="false" ht="35.05" hidden="false" customHeight="false" outlineLevel="0" collapsed="false">
      <c r="A2" s="20" t="n">
        <v>1</v>
      </c>
      <c r="B2" s="20" t="s">
        <v>29</v>
      </c>
      <c r="C2" s="21" t="s">
        <v>3</v>
      </c>
      <c r="D2" s="20" t="s">
        <v>30</v>
      </c>
      <c r="E2" s="22" t="s">
        <v>31</v>
      </c>
      <c r="F2" s="22" t="s">
        <v>32</v>
      </c>
      <c r="G2" s="22" t="s">
        <v>33</v>
      </c>
      <c r="H2" s="22" t="s">
        <v>34</v>
      </c>
      <c r="I2" s="22" t="s">
        <v>35</v>
      </c>
      <c r="J2" s="23" t="s">
        <v>36</v>
      </c>
    </row>
    <row r="3" customFormat="false" ht="15" hidden="false" customHeight="false" outlineLevel="0" collapsed="false">
      <c r="A3" s="20" t="n">
        <v>2</v>
      </c>
      <c r="B3" s="20" t="s">
        <v>37</v>
      </c>
      <c r="C3" s="21" t="s">
        <v>3</v>
      </c>
      <c r="D3" s="20" t="s">
        <v>30</v>
      </c>
      <c r="E3" s="22" t="s">
        <v>38</v>
      </c>
      <c r="F3" s="22" t="s">
        <v>39</v>
      </c>
      <c r="G3" s="22" t="s">
        <v>40</v>
      </c>
      <c r="H3" s="22" t="s">
        <v>41</v>
      </c>
      <c r="I3" s="22" t="s">
        <v>42</v>
      </c>
      <c r="J3" s="23" t="s">
        <v>36</v>
      </c>
    </row>
    <row r="4" customFormat="false" ht="26.85" hidden="false" customHeight="false" outlineLevel="0" collapsed="false">
      <c r="A4" s="20" t="n">
        <v>3</v>
      </c>
      <c r="B4" s="20" t="s">
        <v>43</v>
      </c>
      <c r="C4" s="24" t="s">
        <v>4</v>
      </c>
      <c r="D4" s="20" t="s">
        <v>44</v>
      </c>
      <c r="E4" s="22" t="s">
        <v>45</v>
      </c>
      <c r="F4" s="22" t="s">
        <v>32</v>
      </c>
      <c r="G4" s="22" t="s">
        <v>46</v>
      </c>
      <c r="H4" s="25" t="s">
        <v>47</v>
      </c>
      <c r="I4" s="22" t="s">
        <v>48</v>
      </c>
      <c r="J4" s="23" t="s">
        <v>36</v>
      </c>
    </row>
    <row r="5" customFormat="false" ht="35.05" hidden="false" customHeight="false" outlineLevel="0" collapsed="false">
      <c r="A5" s="20" t="n">
        <v>4</v>
      </c>
      <c r="B5" s="20" t="s">
        <v>49</v>
      </c>
      <c r="C5" s="24" t="s">
        <v>4</v>
      </c>
      <c r="D5" s="20" t="s">
        <v>50</v>
      </c>
      <c r="E5" s="22" t="s">
        <v>51</v>
      </c>
      <c r="F5" s="22" t="s">
        <v>32</v>
      </c>
      <c r="G5" s="22" t="s">
        <v>52</v>
      </c>
      <c r="H5" s="25" t="s">
        <v>53</v>
      </c>
      <c r="I5" s="22" t="s">
        <v>54</v>
      </c>
      <c r="J5" s="23" t="s">
        <v>36</v>
      </c>
    </row>
    <row r="6" customFormat="false" ht="15" hidden="false" customHeight="false" outlineLevel="0" collapsed="false">
      <c r="A6" s="20" t="n">
        <v>5</v>
      </c>
      <c r="B6" s="20" t="s">
        <v>55</v>
      </c>
      <c r="C6" s="24" t="s">
        <v>4</v>
      </c>
      <c r="D6" s="20" t="s">
        <v>56</v>
      </c>
      <c r="E6" s="22" t="s">
        <v>57</v>
      </c>
      <c r="F6" s="22" t="s">
        <v>58</v>
      </c>
      <c r="G6" s="22" t="s">
        <v>59</v>
      </c>
      <c r="H6" s="22" t="s">
        <v>60</v>
      </c>
      <c r="I6" s="22" t="s">
        <v>61</v>
      </c>
      <c r="J6" s="23" t="s">
        <v>36</v>
      </c>
    </row>
    <row r="7" customFormat="false" ht="15" hidden="false" customHeight="false" outlineLevel="0" collapsed="false">
      <c r="A7" s="20" t="n">
        <v>6</v>
      </c>
      <c r="B7" s="20" t="s">
        <v>62</v>
      </c>
      <c r="C7" s="24" t="s">
        <v>4</v>
      </c>
      <c r="D7" s="20" t="s">
        <v>56</v>
      </c>
      <c r="E7" s="22" t="s">
        <v>63</v>
      </c>
      <c r="F7" s="22" t="s">
        <v>64</v>
      </c>
      <c r="G7" s="22" t="s">
        <v>65</v>
      </c>
      <c r="H7" s="25" t="s">
        <v>66</v>
      </c>
      <c r="I7" s="22" t="s">
        <v>67</v>
      </c>
      <c r="J7" s="23" t="s">
        <v>36</v>
      </c>
    </row>
    <row r="8" customFormat="false" ht="15" hidden="false" customHeight="false" outlineLevel="0" collapsed="false">
      <c r="A8" s="20" t="n">
        <v>7</v>
      </c>
      <c r="B8" s="20" t="s">
        <v>68</v>
      </c>
      <c r="C8" s="24" t="s">
        <v>4</v>
      </c>
      <c r="D8" s="20" t="s">
        <v>56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  <c r="J8" s="23" t="s">
        <v>36</v>
      </c>
    </row>
    <row r="9" customFormat="false" ht="15" hidden="false" customHeight="false" outlineLevel="0" collapsed="false">
      <c r="A9" s="20" t="n">
        <v>8</v>
      </c>
      <c r="B9" s="20" t="s">
        <v>74</v>
      </c>
      <c r="C9" s="24" t="s">
        <v>4</v>
      </c>
      <c r="D9" s="20" t="s">
        <v>56</v>
      </c>
      <c r="E9" s="22" t="s">
        <v>75</v>
      </c>
      <c r="F9" s="22" t="s">
        <v>70</v>
      </c>
      <c r="G9" s="22" t="s">
        <v>76</v>
      </c>
      <c r="H9" s="22" t="s">
        <v>77</v>
      </c>
      <c r="I9" s="22" t="s">
        <v>78</v>
      </c>
      <c r="J9" s="23" t="s">
        <v>36</v>
      </c>
    </row>
    <row r="10" customFormat="false" ht="23.85" hidden="false" customHeight="false" outlineLevel="0" collapsed="false">
      <c r="A10" s="20" t="n">
        <v>9</v>
      </c>
      <c r="B10" s="20" t="s">
        <v>79</v>
      </c>
      <c r="C10" s="24" t="s">
        <v>4</v>
      </c>
      <c r="D10" s="20" t="s">
        <v>56</v>
      </c>
      <c r="E10" s="22" t="s">
        <v>80</v>
      </c>
      <c r="F10" s="22" t="s">
        <v>81</v>
      </c>
      <c r="G10" s="22" t="s">
        <v>82</v>
      </c>
      <c r="H10" s="25" t="s">
        <v>83</v>
      </c>
      <c r="I10" s="22" t="s">
        <v>84</v>
      </c>
      <c r="J10" s="23" t="s">
        <v>36</v>
      </c>
    </row>
    <row r="11" customFormat="false" ht="23.85" hidden="false" customHeight="false" outlineLevel="0" collapsed="false">
      <c r="A11" s="20" t="n">
        <v>10</v>
      </c>
      <c r="B11" s="20" t="s">
        <v>85</v>
      </c>
      <c r="C11" s="24" t="s">
        <v>4</v>
      </c>
      <c r="D11" s="20" t="s">
        <v>56</v>
      </c>
      <c r="E11" s="22" t="s">
        <v>86</v>
      </c>
      <c r="F11" s="22" t="s">
        <v>81</v>
      </c>
      <c r="G11" s="22" t="s">
        <v>87</v>
      </c>
      <c r="H11" s="25" t="s">
        <v>88</v>
      </c>
      <c r="I11" s="22" t="s">
        <v>89</v>
      </c>
      <c r="J11" s="23" t="s">
        <v>36</v>
      </c>
    </row>
    <row r="12" customFormat="false" ht="23.85" hidden="false" customHeight="false" outlineLevel="0" collapsed="false">
      <c r="A12" s="20" t="n">
        <v>11</v>
      </c>
      <c r="B12" s="20" t="s">
        <v>90</v>
      </c>
      <c r="C12" s="24" t="s">
        <v>4</v>
      </c>
      <c r="D12" s="20" t="s">
        <v>56</v>
      </c>
      <c r="E12" s="22" t="s">
        <v>91</v>
      </c>
      <c r="F12" s="22" t="s">
        <v>92</v>
      </c>
      <c r="G12" s="22" t="s">
        <v>93</v>
      </c>
      <c r="H12" s="22" t="s">
        <v>94</v>
      </c>
      <c r="I12" s="22" t="s">
        <v>95</v>
      </c>
      <c r="J12" s="23" t="s">
        <v>36</v>
      </c>
    </row>
    <row r="13" customFormat="false" ht="15" hidden="false" customHeight="false" outlineLevel="0" collapsed="false">
      <c r="A13" s="20" t="n">
        <v>12</v>
      </c>
      <c r="B13" s="20" t="s">
        <v>96</v>
      </c>
      <c r="C13" s="24" t="s">
        <v>4</v>
      </c>
      <c r="D13" s="20" t="s">
        <v>97</v>
      </c>
      <c r="E13" s="22" t="s">
        <v>98</v>
      </c>
      <c r="F13" s="22" t="s">
        <v>99</v>
      </c>
      <c r="G13" s="22" t="s">
        <v>100</v>
      </c>
      <c r="H13" s="22" t="s">
        <v>101</v>
      </c>
      <c r="I13" s="22" t="s">
        <v>102</v>
      </c>
      <c r="J13" s="23" t="s">
        <v>36</v>
      </c>
    </row>
    <row r="14" customFormat="false" ht="23.85" hidden="false" customHeight="false" outlineLevel="0" collapsed="false">
      <c r="A14" s="20" t="n">
        <v>13</v>
      </c>
      <c r="B14" s="20" t="s">
        <v>103</v>
      </c>
      <c r="C14" s="24" t="s">
        <v>4</v>
      </c>
      <c r="D14" s="20" t="s">
        <v>44</v>
      </c>
      <c r="E14" s="22" t="s">
        <v>104</v>
      </c>
      <c r="F14" s="22" t="s">
        <v>105</v>
      </c>
      <c r="G14" s="22" t="s">
        <v>106</v>
      </c>
      <c r="H14" s="25" t="s">
        <v>107</v>
      </c>
      <c r="I14" s="22" t="s">
        <v>108</v>
      </c>
      <c r="J14" s="23" t="s">
        <v>36</v>
      </c>
    </row>
    <row r="15" customFormat="false" ht="25.35" hidden="false" customHeight="false" outlineLevel="0" collapsed="false">
      <c r="A15" s="20" t="n">
        <v>14</v>
      </c>
      <c r="B15" s="20" t="s">
        <v>109</v>
      </c>
      <c r="C15" s="24" t="s">
        <v>4</v>
      </c>
      <c r="D15" s="20" t="s">
        <v>97</v>
      </c>
      <c r="E15" s="22" t="s">
        <v>98</v>
      </c>
      <c r="F15" s="22" t="s">
        <v>92</v>
      </c>
      <c r="G15" s="22" t="s">
        <v>110</v>
      </c>
      <c r="H15" s="25" t="s">
        <v>111</v>
      </c>
      <c r="I15" s="22" t="s">
        <v>112</v>
      </c>
      <c r="J15" s="23" t="s">
        <v>36</v>
      </c>
    </row>
    <row r="16" customFormat="false" ht="15" hidden="false" customHeight="false" outlineLevel="0" collapsed="false">
      <c r="A16" s="20" t="n">
        <v>15</v>
      </c>
      <c r="B16" s="20" t="s">
        <v>113</v>
      </c>
      <c r="C16" s="26" t="s">
        <v>5</v>
      </c>
      <c r="D16" s="20" t="s">
        <v>30</v>
      </c>
      <c r="E16" s="22" t="s">
        <v>114</v>
      </c>
      <c r="F16" s="22" t="s">
        <v>39</v>
      </c>
      <c r="G16" s="22" t="s">
        <v>115</v>
      </c>
      <c r="H16" s="22" t="s">
        <v>116</v>
      </c>
      <c r="I16" s="22" t="s">
        <v>116</v>
      </c>
      <c r="J16" s="23" t="s">
        <v>36</v>
      </c>
    </row>
    <row r="17" customFormat="false" ht="15" hidden="false" customHeight="false" outlineLevel="0" collapsed="false">
      <c r="A17" s="20" t="n">
        <v>16</v>
      </c>
      <c r="B17" s="20" t="s">
        <v>117</v>
      </c>
      <c r="C17" s="26" t="s">
        <v>5</v>
      </c>
      <c r="D17" s="20" t="s">
        <v>30</v>
      </c>
      <c r="E17" s="22" t="s">
        <v>118</v>
      </c>
      <c r="F17" s="22" t="s">
        <v>119</v>
      </c>
      <c r="G17" s="22" t="s">
        <v>120</v>
      </c>
      <c r="H17" s="22" t="s">
        <v>121</v>
      </c>
      <c r="I17" s="22" t="s">
        <v>121</v>
      </c>
      <c r="J17" s="23" t="s">
        <v>36</v>
      </c>
    </row>
    <row r="18" customFormat="false" ht="15" hidden="false" customHeight="false" outlineLevel="0" collapsed="false">
      <c r="A18" s="20" t="n">
        <v>17</v>
      </c>
      <c r="B18" s="20" t="s">
        <v>122</v>
      </c>
      <c r="C18" s="26" t="s">
        <v>5</v>
      </c>
      <c r="D18" s="20" t="s">
        <v>30</v>
      </c>
      <c r="E18" s="22" t="s">
        <v>123</v>
      </c>
      <c r="F18" s="22" t="s">
        <v>124</v>
      </c>
      <c r="G18" s="22" t="s">
        <v>125</v>
      </c>
      <c r="H18" s="22" t="s">
        <v>126</v>
      </c>
      <c r="I18" s="22" t="s">
        <v>127</v>
      </c>
      <c r="J18" s="23" t="s">
        <v>36</v>
      </c>
    </row>
    <row r="19" customFormat="false" ht="15" hidden="false" customHeight="false" outlineLevel="0" collapsed="false">
      <c r="A19" s="20" t="n">
        <v>18</v>
      </c>
      <c r="B19" s="20" t="s">
        <v>128</v>
      </c>
      <c r="C19" s="26" t="s">
        <v>5</v>
      </c>
      <c r="D19" s="20" t="s">
        <v>97</v>
      </c>
      <c r="E19" s="22" t="s">
        <v>129</v>
      </c>
      <c r="F19" s="22" t="s">
        <v>124</v>
      </c>
      <c r="G19" s="22" t="s">
        <v>130</v>
      </c>
      <c r="H19" s="22" t="s">
        <v>131</v>
      </c>
      <c r="I19" s="22" t="s">
        <v>132</v>
      </c>
      <c r="J19" s="23" t="s">
        <v>36</v>
      </c>
    </row>
    <row r="20" customFormat="false" ht="25.35" hidden="false" customHeight="false" outlineLevel="0" collapsed="false">
      <c r="A20" s="20" t="n">
        <v>19</v>
      </c>
      <c r="B20" s="20" t="s">
        <v>133</v>
      </c>
      <c r="C20" s="26" t="s">
        <v>5</v>
      </c>
      <c r="D20" s="20" t="s">
        <v>97</v>
      </c>
      <c r="E20" s="22" t="s">
        <v>134</v>
      </c>
      <c r="F20" s="22" t="s">
        <v>99</v>
      </c>
      <c r="G20" s="22" t="s">
        <v>135</v>
      </c>
      <c r="H20" s="22" t="s">
        <v>136</v>
      </c>
      <c r="I20" s="22" t="s">
        <v>137</v>
      </c>
      <c r="J20" s="23" t="s">
        <v>36</v>
      </c>
    </row>
    <row r="21" customFormat="false" ht="15" hidden="false" customHeight="false" outlineLevel="0" collapsed="false">
      <c r="A21" s="20" t="n">
        <v>20</v>
      </c>
      <c r="B21" s="20" t="s">
        <v>138</v>
      </c>
      <c r="C21" s="26" t="s">
        <v>5</v>
      </c>
      <c r="D21" s="20" t="s">
        <v>97</v>
      </c>
      <c r="E21" s="22" t="s">
        <v>139</v>
      </c>
      <c r="F21" s="22" t="s">
        <v>140</v>
      </c>
      <c r="G21" s="22" t="s">
        <v>141</v>
      </c>
      <c r="H21" s="22" t="s">
        <v>121</v>
      </c>
      <c r="I21" s="22" t="s">
        <v>142</v>
      </c>
      <c r="J21" s="23" t="s">
        <v>36</v>
      </c>
    </row>
    <row r="22" customFormat="false" ht="15" hidden="false" customHeight="false" outlineLevel="0" collapsed="false">
      <c r="A22" s="20" t="n">
        <v>21</v>
      </c>
      <c r="B22" s="20" t="s">
        <v>143</v>
      </c>
      <c r="C22" s="26" t="s">
        <v>5</v>
      </c>
      <c r="D22" s="20" t="s">
        <v>56</v>
      </c>
      <c r="E22" s="22" t="s">
        <v>144</v>
      </c>
      <c r="F22" s="22" t="s">
        <v>145</v>
      </c>
      <c r="G22" s="22" t="s">
        <v>146</v>
      </c>
      <c r="H22" s="22" t="s">
        <v>147</v>
      </c>
      <c r="I22" s="22" t="s">
        <v>148</v>
      </c>
      <c r="J22" s="23" t="s">
        <v>36</v>
      </c>
    </row>
    <row r="23" customFormat="false" ht="15" hidden="false" customHeight="false" outlineLevel="0" collapsed="false">
      <c r="A23" s="20" t="n">
        <v>22</v>
      </c>
      <c r="B23" s="20" t="s">
        <v>149</v>
      </c>
      <c r="C23" s="26" t="s">
        <v>5</v>
      </c>
      <c r="D23" s="20" t="s">
        <v>97</v>
      </c>
      <c r="E23" s="22" t="s">
        <v>150</v>
      </c>
      <c r="F23" s="22" t="s">
        <v>119</v>
      </c>
      <c r="G23" s="22" t="s">
        <v>151</v>
      </c>
      <c r="H23" s="22" t="s">
        <v>121</v>
      </c>
      <c r="I23" s="22" t="s">
        <v>152</v>
      </c>
      <c r="J23" s="23" t="s">
        <v>36</v>
      </c>
    </row>
    <row r="24" customFormat="false" ht="15" hidden="false" customHeight="false" outlineLevel="0" collapsed="false">
      <c r="A24" s="20" t="n">
        <v>23</v>
      </c>
      <c r="B24" s="20" t="s">
        <v>153</v>
      </c>
      <c r="C24" s="26" t="s">
        <v>5</v>
      </c>
      <c r="D24" s="20" t="s">
        <v>56</v>
      </c>
      <c r="E24" s="22" t="s">
        <v>154</v>
      </c>
      <c r="F24" s="22" t="s">
        <v>155</v>
      </c>
      <c r="G24" s="22" t="s">
        <v>156</v>
      </c>
      <c r="H24" s="22" t="s">
        <v>157</v>
      </c>
      <c r="I24" s="22" t="s">
        <v>158</v>
      </c>
      <c r="J24" s="23" t="s">
        <v>36</v>
      </c>
    </row>
    <row r="25" customFormat="false" ht="15" hidden="false" customHeight="false" outlineLevel="0" collapsed="false">
      <c r="A25" s="20" t="n">
        <v>24</v>
      </c>
      <c r="B25" s="20" t="s">
        <v>159</v>
      </c>
      <c r="C25" s="26" t="s">
        <v>5</v>
      </c>
      <c r="D25" s="20" t="s">
        <v>56</v>
      </c>
      <c r="E25" s="22" t="s">
        <v>160</v>
      </c>
      <c r="F25" s="22" t="s">
        <v>145</v>
      </c>
      <c r="G25" s="22" t="s">
        <v>161</v>
      </c>
      <c r="H25" s="25" t="s">
        <v>162</v>
      </c>
      <c r="I25" s="22" t="s">
        <v>163</v>
      </c>
      <c r="J25" s="23" t="s">
        <v>36</v>
      </c>
    </row>
    <row r="26" customFormat="false" ht="15" hidden="false" customHeight="false" outlineLevel="0" collapsed="false">
      <c r="A26" s="20" t="n">
        <v>25</v>
      </c>
      <c r="B26" s="20" t="s">
        <v>164</v>
      </c>
      <c r="C26" s="26" t="s">
        <v>5</v>
      </c>
      <c r="D26" s="20" t="s">
        <v>56</v>
      </c>
      <c r="E26" s="22" t="s">
        <v>165</v>
      </c>
      <c r="F26" s="22" t="s">
        <v>166</v>
      </c>
      <c r="G26" s="22" t="s">
        <v>167</v>
      </c>
      <c r="H26" s="22" t="s">
        <v>168</v>
      </c>
      <c r="I26" s="22" t="s">
        <v>169</v>
      </c>
      <c r="J26" s="23" t="s">
        <v>36</v>
      </c>
    </row>
    <row r="27" customFormat="false" ht="15" hidden="false" customHeight="false" outlineLevel="0" collapsed="false">
      <c r="A27" s="20" t="n">
        <v>26</v>
      </c>
      <c r="B27" s="20" t="s">
        <v>170</v>
      </c>
      <c r="C27" s="26" t="s">
        <v>5</v>
      </c>
      <c r="D27" s="20" t="s">
        <v>56</v>
      </c>
      <c r="E27" s="22" t="s">
        <v>171</v>
      </c>
      <c r="F27" s="22" t="s">
        <v>119</v>
      </c>
      <c r="G27" s="22" t="s">
        <v>172</v>
      </c>
      <c r="H27" s="22" t="s">
        <v>121</v>
      </c>
      <c r="I27" s="22" t="s">
        <v>36</v>
      </c>
      <c r="J27" s="23" t="s">
        <v>36</v>
      </c>
    </row>
    <row r="28" customFormat="false" ht="23.85" hidden="false" customHeight="false" outlineLevel="0" collapsed="false">
      <c r="A28" s="20" t="n">
        <v>27</v>
      </c>
      <c r="B28" s="20" t="s">
        <v>173</v>
      </c>
      <c r="C28" s="26" t="s">
        <v>5</v>
      </c>
      <c r="D28" s="20" t="s">
        <v>56</v>
      </c>
      <c r="E28" s="22" t="s">
        <v>80</v>
      </c>
      <c r="F28" s="22" t="s">
        <v>81</v>
      </c>
      <c r="G28" s="22" t="s">
        <v>174</v>
      </c>
      <c r="H28" s="25" t="s">
        <v>175</v>
      </c>
      <c r="I28" s="22" t="s">
        <v>176</v>
      </c>
      <c r="J28" s="23" t="s">
        <v>36</v>
      </c>
    </row>
    <row r="29" customFormat="false" ht="35.05" hidden="false" customHeight="false" outlineLevel="0" collapsed="false">
      <c r="A29" s="20" t="n">
        <v>28</v>
      </c>
      <c r="B29" s="20" t="s">
        <v>177</v>
      </c>
      <c r="C29" s="26" t="s">
        <v>5</v>
      </c>
      <c r="D29" s="20" t="s">
        <v>56</v>
      </c>
      <c r="E29" s="22" t="s">
        <v>178</v>
      </c>
      <c r="F29" s="22" t="s">
        <v>145</v>
      </c>
      <c r="G29" s="22" t="s">
        <v>179</v>
      </c>
      <c r="H29" s="25" t="s">
        <v>180</v>
      </c>
      <c r="I29" s="22" t="s">
        <v>181</v>
      </c>
      <c r="J29" s="23" t="s">
        <v>36</v>
      </c>
    </row>
    <row r="30" customFormat="false" ht="23.85" hidden="false" customHeight="false" outlineLevel="0" collapsed="false">
      <c r="A30" s="20" t="n">
        <v>29</v>
      </c>
      <c r="B30" s="20" t="s">
        <v>182</v>
      </c>
      <c r="C30" s="26" t="s">
        <v>5</v>
      </c>
      <c r="D30" s="20" t="s">
        <v>56</v>
      </c>
      <c r="E30" s="22" t="s">
        <v>183</v>
      </c>
      <c r="F30" s="22" t="s">
        <v>81</v>
      </c>
      <c r="G30" s="22" t="s">
        <v>184</v>
      </c>
      <c r="H30" s="22" t="s">
        <v>185</v>
      </c>
      <c r="I30" s="22" t="s">
        <v>186</v>
      </c>
      <c r="J30" s="23" t="s">
        <v>36</v>
      </c>
    </row>
    <row r="31" customFormat="false" ht="15" hidden="false" customHeight="false" outlineLevel="0" collapsed="false">
      <c r="A31" s="20" t="n">
        <v>30</v>
      </c>
      <c r="B31" s="20" t="s">
        <v>187</v>
      </c>
      <c r="C31" s="26" t="s">
        <v>5</v>
      </c>
      <c r="D31" s="20" t="s">
        <v>56</v>
      </c>
      <c r="E31" s="22" t="s">
        <v>188</v>
      </c>
      <c r="F31" s="22" t="s">
        <v>189</v>
      </c>
      <c r="G31" s="22" t="s">
        <v>190</v>
      </c>
      <c r="H31" s="22" t="s">
        <v>191</v>
      </c>
      <c r="I31" s="22" t="s">
        <v>192</v>
      </c>
      <c r="J31" s="23" t="s">
        <v>36</v>
      </c>
    </row>
    <row r="32" customFormat="false" ht="23.85" hidden="false" customHeight="false" outlineLevel="0" collapsed="false">
      <c r="A32" s="20" t="n">
        <v>31</v>
      </c>
      <c r="B32" s="20" t="s">
        <v>193</v>
      </c>
      <c r="C32" s="26" t="s">
        <v>5</v>
      </c>
      <c r="D32" s="20" t="s">
        <v>50</v>
      </c>
      <c r="E32" s="22" t="s">
        <v>194</v>
      </c>
      <c r="F32" s="22" t="s">
        <v>195</v>
      </c>
      <c r="G32" s="22" t="s">
        <v>196</v>
      </c>
      <c r="H32" s="22" t="s">
        <v>197</v>
      </c>
      <c r="I32" s="22" t="s">
        <v>198</v>
      </c>
      <c r="J32" s="23" t="s">
        <v>36</v>
      </c>
    </row>
    <row r="33" customFormat="false" ht="23.85" hidden="false" customHeight="false" outlineLevel="0" collapsed="false">
      <c r="A33" s="20" t="n">
        <v>32</v>
      </c>
      <c r="B33" s="20" t="s">
        <v>199</v>
      </c>
      <c r="C33" s="27" t="s">
        <v>6</v>
      </c>
      <c r="D33" s="20" t="s">
        <v>30</v>
      </c>
      <c r="E33" s="22" t="s">
        <v>200</v>
      </c>
      <c r="F33" s="22" t="s">
        <v>6</v>
      </c>
      <c r="G33" s="22" t="s">
        <v>201</v>
      </c>
      <c r="H33" s="22" t="s">
        <v>202</v>
      </c>
      <c r="I33" s="22" t="s">
        <v>203</v>
      </c>
      <c r="J33" s="23" t="s">
        <v>36</v>
      </c>
    </row>
    <row r="34" customFormat="false" ht="23.85" hidden="false" customHeight="false" outlineLevel="0" collapsed="false">
      <c r="A34" s="20" t="n">
        <v>33</v>
      </c>
      <c r="B34" s="20" t="s">
        <v>204</v>
      </c>
      <c r="C34" s="27" t="s">
        <v>6</v>
      </c>
      <c r="D34" s="20" t="s">
        <v>56</v>
      </c>
      <c r="E34" s="22" t="s">
        <v>205</v>
      </c>
      <c r="F34" s="22" t="s">
        <v>6</v>
      </c>
      <c r="G34" s="22" t="s">
        <v>206</v>
      </c>
      <c r="H34" s="22" t="s">
        <v>207</v>
      </c>
      <c r="I34" s="22" t="s">
        <v>208</v>
      </c>
      <c r="J34" s="23" t="s">
        <v>36</v>
      </c>
    </row>
    <row r="35" customFormat="false" ht="23.85" hidden="false" customHeight="false" outlineLevel="0" collapsed="false">
      <c r="A35" s="20" t="n">
        <v>34</v>
      </c>
      <c r="B35" s="20" t="s">
        <v>209</v>
      </c>
      <c r="C35" s="27" t="s">
        <v>6</v>
      </c>
      <c r="D35" s="20" t="s">
        <v>44</v>
      </c>
      <c r="E35" s="22" t="s">
        <v>210</v>
      </c>
      <c r="F35" s="22" t="s">
        <v>6</v>
      </c>
      <c r="G35" s="22" t="s">
        <v>211</v>
      </c>
      <c r="H35" s="22" t="s">
        <v>212</v>
      </c>
      <c r="I35" s="22" t="s">
        <v>213</v>
      </c>
      <c r="J35" s="23" t="s">
        <v>36</v>
      </c>
    </row>
    <row r="36" customFormat="false" ht="15" hidden="false" customHeight="false" outlineLevel="0" collapsed="false">
      <c r="A36" s="20" t="n">
        <v>35</v>
      </c>
      <c r="B36" s="20" t="s">
        <v>214</v>
      </c>
      <c r="C36" s="27" t="s">
        <v>6</v>
      </c>
      <c r="D36" s="20" t="s">
        <v>50</v>
      </c>
      <c r="E36" s="22" t="s">
        <v>215</v>
      </c>
      <c r="F36" s="22" t="s">
        <v>6</v>
      </c>
      <c r="G36" s="22" t="s">
        <v>216</v>
      </c>
      <c r="H36" s="22" t="s">
        <v>217</v>
      </c>
      <c r="I36" s="22" t="s">
        <v>218</v>
      </c>
      <c r="J36" s="23" t="s">
        <v>36</v>
      </c>
    </row>
    <row r="37" customFormat="false" ht="23.85" hidden="false" customHeight="false" outlineLevel="0" collapsed="false">
      <c r="A37" s="20" t="n">
        <v>36</v>
      </c>
      <c r="B37" s="20" t="s">
        <v>219</v>
      </c>
      <c r="C37" s="27" t="s">
        <v>6</v>
      </c>
      <c r="D37" s="20" t="s">
        <v>97</v>
      </c>
      <c r="E37" s="22" t="s">
        <v>220</v>
      </c>
      <c r="F37" s="22" t="s">
        <v>6</v>
      </c>
      <c r="G37" s="22" t="s">
        <v>221</v>
      </c>
      <c r="H37" s="22" t="s">
        <v>222</v>
      </c>
      <c r="I37" s="22" t="s">
        <v>223</v>
      </c>
      <c r="J37" s="23" t="s">
        <v>36</v>
      </c>
    </row>
  </sheetData>
  <autoFilter ref="A1:J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2026-09-27T16:47:41Z</dcterms:created>
  <dc:creator>openpyxl</dc:creator>
  <dc:description/>
  <dc:language>en-US</dc:language>
  <cp:lastModifiedBy/>
  <dcterms:modified xsi:type="dcterms:W3CDTF">2026-09-27T16:47:41Z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